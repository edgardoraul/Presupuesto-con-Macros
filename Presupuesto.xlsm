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bookViews>
    <workbookView xWindow="0" yWindow="0" windowWidth="21810" windowHeight="9570"/>
  </bookViews>
  <sheets>
    <sheet name="Presupuesto" sheetId="1" r:id="rId1"/>
    <sheet name="Resultados" sheetId="3" r:id="rId2"/>
    <sheet name="Variantes" sheetId="2" r:id="rId3"/>
  </sheets>
  <functionGroups builtInGroupCount="18"/>
  <definedNames>
    <definedName name="_xlnm.Print_Area" localSheetId="0">Presupuesto!$A$1:$I$31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1" i="1" l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10" i="1"/>
  <c r="H9" i="1"/>
  <c r="C3" i="1" l="1"/>
</calcChain>
</file>

<file path=xl/sharedStrings.xml><?xml version="1.0" encoding="utf-8"?>
<sst xmlns="http://schemas.openxmlformats.org/spreadsheetml/2006/main" count="153" uniqueCount="147">
  <si>
    <t>PRESUPUESTO - COTIZACIÓN</t>
  </si>
  <si>
    <t>DETALLE</t>
  </si>
  <si>
    <t>TALLE</t>
  </si>
  <si>
    <t>COLOR</t>
  </si>
  <si>
    <t>FOTO</t>
  </si>
  <si>
    <t>PRECIO UNITARIO SIN IVA</t>
  </si>
  <si>
    <t>SUBTOTAL SIN IVA</t>
  </si>
  <si>
    <t>CANT.</t>
  </si>
  <si>
    <t xml:space="preserve">FECHA: </t>
  </si>
  <si>
    <t xml:space="preserve">SEÑOR/ES: </t>
  </si>
  <si>
    <t xml:space="preserve">DOMICILIO: </t>
  </si>
  <si>
    <t xml:space="preserve">TELEFONO: </t>
  </si>
  <si>
    <t>Seguridad la Primera - Ricardo Lescano</t>
  </si>
  <si>
    <t>Cobos 1319 - Guaymallén - Mendoza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</si>
  <si>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</si>
  <si>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</si>
  <si>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</si>
  <si>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</si>
  <si>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</si>
  <si>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</si>
  <si>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</si>
  <si>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</si>
  <si>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</si>
  <si>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</si>
  <si>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</si>
  <si>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</si>
  <si>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</si>
  <si>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</si>
  <si>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</si>
  <si>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</si>
  <si>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</si>
  <si>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</si>
  <si>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</si>
  <si>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</si>
  <si>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</si>
  <si>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</si>
  <si>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</si>
  <si>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</si>
  <si>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</si>
  <si>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</si>
  <si>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</si>
  <si>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</si>
  <si>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</si>
  <si>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</si>
  <si>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</si>
  <si>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</si>
  <si>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</si>
  <si>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</si>
  <si>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</si>
  <si>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</si>
  <si>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</si>
  <si>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</si>
  <si>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</si>
  <si>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</si>
  <si>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</si>
  <si>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</si>
  <si>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</si>
  <si>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</si>
  <si>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</si>
  <si>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</si>
  <si>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</si>
  <si>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</si>
  <si>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</si>
  <si>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</si>
  <si>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</si>
  <si>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</si>
  <si>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</si>
  <si>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</si>
  <si>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Leanne Graham</t>
  </si>
  <si>
    <t>Bret</t>
  </si>
  <si>
    <t>Sincere@april.biz</t>
  </si>
  <si>
    <t>Gwenborough</t>
  </si>
  <si>
    <t>1-770-736-8031 x56442</t>
  </si>
  <si>
    <t>hildegard.org</t>
  </si>
  <si>
    <t>Romaguera-Crona</t>
  </si>
  <si>
    <t>Ervin Howell</t>
  </si>
  <si>
    <t>Antonette</t>
  </si>
  <si>
    <t>Shanna@melissa.tv</t>
  </si>
  <si>
    <t>Wisokyburgh</t>
  </si>
  <si>
    <t>010-692-6593 x09125</t>
  </si>
  <si>
    <t>anastasia.net</t>
  </si>
  <si>
    <t>Deckow-Crist</t>
  </si>
  <si>
    <t>Clementine Bauch</t>
  </si>
  <si>
    <t>Samantha</t>
  </si>
  <si>
    <t>Nathan@yesenia.net</t>
  </si>
  <si>
    <t>McKenziehaven</t>
  </si>
  <si>
    <t>1-463-123-4447</t>
  </si>
  <si>
    <t>ramiro.info</t>
  </si>
  <si>
    <t>Romaguera-Jacobson</t>
  </si>
  <si>
    <t>Patricia Lebsack</t>
  </si>
  <si>
    <t>Karianne</t>
  </si>
  <si>
    <t>Julianne.OConner@kory.org</t>
  </si>
  <si>
    <t>South Elvis</t>
  </si>
  <si>
    <t>493-170-9623 x156</t>
  </si>
  <si>
    <t>kale.biz</t>
  </si>
  <si>
    <t>Robel-Corkery</t>
  </si>
  <si>
    <t>Chelsey Dietrich</t>
  </si>
  <si>
    <t>Kamren</t>
  </si>
  <si>
    <t>Lucio_Hettinger@annie.ca</t>
  </si>
  <si>
    <t>Roscoeview</t>
  </si>
  <si>
    <t>(254)954-1289</t>
  </si>
  <si>
    <t>demarco.info</t>
  </si>
  <si>
    <t>Keebler LLC</t>
  </si>
  <si>
    <t>Mrs. Dennis Schulist</t>
  </si>
  <si>
    <t>Leopoldo_Corkery</t>
  </si>
  <si>
    <t>Karley_Dach@jasper.info</t>
  </si>
  <si>
    <t>South Christy</t>
  </si>
  <si>
    <t>1-477-935-8478 x6430</t>
  </si>
  <si>
    <t>ola.org</t>
  </si>
  <si>
    <t>Considine-Lockman</t>
  </si>
  <si>
    <t>Kurtis Weissnat</t>
  </si>
  <si>
    <t>Elwyn.Skiles</t>
  </si>
  <si>
    <t>Telly.Hoeger@billy.biz</t>
  </si>
  <si>
    <t>Howemouth</t>
  </si>
  <si>
    <t>210.067.6132</t>
  </si>
  <si>
    <t>elvis.io</t>
  </si>
  <si>
    <t>Johns Group</t>
  </si>
  <si>
    <t>Nicholas Runolfsdottir V</t>
  </si>
  <si>
    <t>Maxime_Nienow</t>
  </si>
  <si>
    <t>Sherwood@rosamond.me</t>
  </si>
  <si>
    <t>Aliyaview</t>
  </si>
  <si>
    <t>586.493.6943 x140</t>
  </si>
  <si>
    <t>jacynthe.com</t>
  </si>
  <si>
    <t>Abernathy Group</t>
  </si>
  <si>
    <t>Glenna Reichert</t>
  </si>
  <si>
    <t>Delphine</t>
  </si>
  <si>
    <t>Chaim_McDermott@dana.io</t>
  </si>
  <si>
    <t>Bartholomebury</t>
  </si>
  <si>
    <t>(775)976-6794 x41206</t>
  </si>
  <si>
    <t>conrad.com</t>
  </si>
  <si>
    <t>Yost and Sons</t>
  </si>
  <si>
    <t>Clementina DuBuque</t>
  </si>
  <si>
    <t>Moriah.Stanton</t>
  </si>
  <si>
    <t>Rey.Padberg@karina.biz</t>
  </si>
  <si>
    <t>Lebsackbury</t>
  </si>
  <si>
    <t>024-648-3804</t>
  </si>
  <si>
    <t>ambrose.net</t>
  </si>
  <si>
    <t>Hoeger LLC</t>
  </si>
  <si>
    <t>CODIGO</t>
  </si>
  <si>
    <t>Precios:</t>
  </si>
  <si>
    <t>Netos. No incluyen IVA.</t>
  </si>
  <si>
    <t>Forma de Pago:</t>
  </si>
  <si>
    <t>A convenir.</t>
  </si>
  <si>
    <t>Plazo de Entrega:</t>
  </si>
  <si>
    <t>Observaciones:</t>
  </si>
  <si>
    <t>Válido por 48 horas.</t>
  </si>
  <si>
    <t>ESTAMP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</si>
</sst>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0" fillId="0" borderId="0" xfId="0" applyBorder="1"/>
    <xf numFmtId="0" fontId="0" fillId="0" borderId="2" xfId="0" applyBorder="1" applyAlignment="1" applyProtection="1">
      <alignment vertical="center"/>
      <protection locked="0"/>
    </xf>
    <xf numFmtId="164" fontId="0" fillId="0" borderId="2" xfId="0" applyNumberFormat="1" applyBorder="1" applyAlignment="1" applyProtection="1">
      <alignment vertical="center"/>
      <protection locked="0"/>
    </xf>
    <xf numFmtId="0" fontId="0" fillId="0" borderId="7" xfId="0" applyBorder="1" applyAlignment="1" applyProtection="1">
      <alignment vertical="center"/>
      <protection locked="0"/>
    </xf>
    <xf numFmtId="0" fontId="0" fillId="0" borderId="0" xfId="0" applyProtection="1">
      <protection hidden="1"/>
    </xf>
    <xf numFmtId="0" fontId="1" fillId="2" borderId="1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/>
    <xf numFmtId="164" fontId="0" fillId="0" borderId="2" xfId="0" applyNumberFormat="1" applyBorder="1" applyAlignment="1" applyProtection="1">
      <alignment vertical="center"/>
    </xf>
    <xf numFmtId="164" fontId="0" fillId="0" borderId="7" xfId="0" applyNumberFormat="1" applyBorder="1" applyAlignment="1" applyProtection="1">
      <alignment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right" vertical="center" wrapText="1"/>
      <protection hidden="1"/>
    </xf>
    <xf numFmtId="0" fontId="1" fillId="2" borderId="3" xfId="0" applyFont="1" applyFill="1" applyBorder="1" applyAlignment="1" applyProtection="1">
      <alignment horizontal="center" vertical="center" wrapText="1"/>
      <protection hidden="1"/>
    </xf>
    <xf numFmtId="0" fontId="1" fillId="2" borderId="4" xfId="0" applyFont="1" applyFill="1" applyBorder="1" applyAlignment="1" applyProtection="1">
      <alignment horizontal="center" vertical="center" wrapText="1"/>
      <protection hidden="1"/>
    </xf>
    <xf numFmtId="0" fontId="0" fillId="0" borderId="5" xfId="0" applyBorder="1" applyAlignment="1" applyProtection="1">
      <alignment vertical="center" wrapText="1"/>
      <protection locked="0"/>
    </xf>
    <xf numFmtId="0" fontId="0" fillId="0" borderId="6" xfId="0" applyBorder="1" applyAlignment="1" applyProtection="1">
      <alignment vertical="center" wrapText="1"/>
      <protection locked="0"/>
    </xf>
    <xf numFmtId="0" fontId="3" fillId="0" borderId="0" xfId="0" applyFont="1" applyAlignment="1" applyProtection="1">
      <alignment horizontal="right"/>
      <protection hidden="1"/>
    </xf>
    <xf numFmtId="14" fontId="4" fillId="0" borderId="0" xfId="0" applyNumberFormat="1" applyFont="1" applyAlignment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3" fillId="0" borderId="10" xfId="0" applyFont="1" applyBorder="1" applyProtection="1">
      <protection locked="0"/>
    </xf>
    <xf numFmtId="0" fontId="0" fillId="0" borderId="8" xfId="0" applyBorder="1" applyAlignment="1" applyProtection="1">
      <alignment vertical="center" wrapText="1"/>
      <protection locked="0"/>
    </xf>
    <xf numFmtId="0" fontId="0" fillId="0" borderId="9" xfId="0" applyBorder="1" applyAlignment="1" applyProtection="1">
      <alignment vertical="center" wrapText="1"/>
      <protection locked="0"/>
    </xf>
    <xf numFmtId="0" fontId="5" fillId="0" borderId="10" xfId="0" applyFont="1" applyBorder="1" applyAlignment="1" applyProtection="1">
      <alignment horizontal="right"/>
      <protection hidden="1"/>
    </xf>
    <xf numFmtId="0" fontId="5" fillId="0" borderId="11" xfId="0" applyFont="1" applyBorder="1" applyAlignment="1" applyProtection="1">
      <alignment horizontal="right"/>
      <protection hidden="1"/>
    </xf>
    <xf numFmtId="0" fontId="3" fillId="0" borderId="11" xfId="0" applyFont="1" applyBorder="1"/>
    <xf numFmtId="0" fontId="3" fillId="0" borderId="11" xfId="0" applyFont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57150</xdr:rowOff>
    </xdr:from>
    <xdr:to>
      <xdr:col>2</xdr:col>
      <xdr:colOff>767887</xdr:colOff>
      <xdr:row>0</xdr:row>
      <xdr:rowOff>684212</xdr:rowOff>
    </xdr:to>
    <xdr:pic>
      <xdr:nvPicPr>
        <xdr:cNvPr id="2" name="Picture 5"/>
        <xdr:cNvPicPr/>
      </xdr:nvPicPr>
      <xdr:blipFill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00" y="57150"/>
          <a:ext cx="1701337" cy="6270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0"/>
  <sheetViews>
    <sheetView tabSelected="1" view="pageLayout" zoomScaleNormal="100" workbookViewId="0">
      <selection sqref="A1:I1"/>
    </sheetView>
  </sheetViews>
  <sheetFormatPr baseColWidth="10" defaultRowHeight="15" x14ac:dyDescent="0.25"/>
  <cols>
    <col min="1" max="1" width="8.28515625" bestFit="1" customWidth="1"/>
    <col min="2" max="2" width="6.85546875" customWidth="1"/>
    <col min="3" max="3" width="26" customWidth="1"/>
    <col min="4" max="4" width="7.85546875" customWidth="1"/>
    <col min="5" max="5" width="10.140625" style="2" customWidth="1"/>
    <col min="6" max="6" width="6.85546875" customWidth="1"/>
    <col min="7" max="7" width="14.5703125" customWidth="1"/>
    <col min="8" max="8" width="13.85546875" customWidth="1"/>
    <col min="9" max="9" width="20.7109375" customWidth="1"/>
  </cols>
  <sheetData>
    <row r="1" spans="1:10" ht="55.5" customHeight="1" x14ac:dyDescent="0.25">
      <c r="A1" s="15" t="s">
        <v>0</v>
      </c>
      <c r="B1" s="15"/>
      <c r="C1" s="15"/>
      <c r="D1" s="15"/>
      <c r="E1" s="15"/>
      <c r="F1" s="15"/>
      <c r="G1" s="15"/>
      <c r="H1" s="15"/>
      <c r="I1" s="15"/>
    </row>
    <row r="2" spans="1:10" x14ac:dyDescent="0.25">
      <c r="A2" s="6"/>
      <c r="B2" s="6"/>
      <c r="E2"/>
    </row>
    <row r="3" spans="1:10" ht="18" customHeight="1" x14ac:dyDescent="0.3">
      <c r="A3" s="20" t="s">
        <v>8</v>
      </c>
      <c r="B3" s="20"/>
      <c r="C3" s="21">
        <f ca="1">TODAY()</f>
        <v>44964</v>
      </c>
      <c r="D3" s="21"/>
      <c r="E3" s="21"/>
      <c r="F3" s="21"/>
      <c r="G3" s="21"/>
      <c r="H3" s="21"/>
      <c r="I3" s="21"/>
    </row>
    <row r="4" spans="1:10" ht="18" customHeight="1" x14ac:dyDescent="0.3">
      <c r="A4" s="20" t="s">
        <v>9</v>
      </c>
      <c r="B4" s="20"/>
      <c r="C4" s="22" t="s">
        <v>12</v>
      </c>
      <c r="D4" s="22"/>
      <c r="E4" s="22"/>
      <c r="F4" s="22"/>
      <c r="G4" s="22"/>
      <c r="H4" s="22"/>
      <c r="I4" s="22"/>
    </row>
    <row r="5" spans="1:10" ht="18" customHeight="1" x14ac:dyDescent="0.3">
      <c r="A5" s="20" t="s">
        <v>10</v>
      </c>
      <c r="B5" s="20"/>
      <c r="C5" s="23" t="s">
        <v>13</v>
      </c>
      <c r="D5" s="23"/>
      <c r="E5" s="23"/>
      <c r="F5" s="23"/>
      <c r="G5" s="23"/>
      <c r="H5" s="23"/>
      <c r="I5" s="23"/>
    </row>
    <row r="6" spans="1:10" ht="18" customHeight="1" x14ac:dyDescent="0.3">
      <c r="A6" s="20" t="s">
        <v>11</v>
      </c>
      <c r="B6" s="20"/>
      <c r="C6" s="23">
        <v>2615035089</v>
      </c>
      <c r="D6" s="23"/>
      <c r="E6" s="23"/>
      <c r="F6" s="23"/>
      <c r="G6" s="23"/>
      <c r="H6" s="23"/>
      <c r="I6" s="23"/>
    </row>
    <row r="7" spans="1:10" x14ac:dyDescent="0.25">
      <c r="A7" s="6"/>
      <c r="B7" s="6"/>
      <c r="C7" s="6"/>
      <c r="D7" s="6"/>
      <c r="E7" s="6"/>
      <c r="F7" s="6"/>
      <c r="G7" s="6"/>
      <c r="H7" s="6"/>
      <c r="I7" s="6"/>
    </row>
    <row r="8" spans="1:10" ht="45" x14ac:dyDescent="0.25">
      <c r="A8" s="7" t="s">
        <v>138</v>
      </c>
      <c r="B8" s="16" t="s">
        <v>1</v>
      </c>
      <c r="C8" s="17"/>
      <c r="D8" s="7" t="s">
        <v>2</v>
      </c>
      <c r="E8" s="7" t="s">
        <v>3</v>
      </c>
      <c r="F8" s="7" t="s">
        <v>7</v>
      </c>
      <c r="G8" s="7" t="s">
        <v>5</v>
      </c>
      <c r="H8" s="7" t="s">
        <v>6</v>
      </c>
      <c r="I8" s="7" t="s">
        <v>4</v>
      </c>
      <c r="J8" s="8"/>
    </row>
    <row r="9" spans="1:10" x14ac:dyDescent="0.25">
      <c r="A9" s="11">
        <v>2101900</v>
      </c>
      <c r="B9" s="18"/>
      <c r="C9" s="19"/>
      <c r="D9" s="11" t="s">
        <v>62</v>
      </c>
      <c r="E9" s="12" t="s">
        <v>22</v>
      </c>
      <c r="F9" s="3">
        <v>54</v>
      </c>
      <c r="G9" s="4">
        <v>123540</v>
      </c>
      <c r="H9" s="9">
        <f>IF(F9*G9=0,"",F9*G9)</f>
        <v>6671160</v>
      </c>
      <c r="I9" s="3"/>
    </row>
    <row r="10" spans="1:10" x14ac:dyDescent="0.25">
      <c r="A10" s="11">
        <v>2101999</v>
      </c>
      <c r="B10" s="18"/>
      <c r="C10" s="19"/>
      <c r="D10" s="11" t="s">
        <v>65</v>
      </c>
      <c r="E10" s="12"/>
      <c r="F10" s="3">
        <v>1</v>
      </c>
      <c r="G10" s="4">
        <v>654654</v>
      </c>
      <c r="H10" s="9">
        <f>IF(F10*G10=0,"",F10*G10)</f>
        <v>654654</v>
      </c>
      <c r="I10" s="3"/>
    </row>
    <row r="11" spans="1:10" x14ac:dyDescent="0.25">
      <c r="A11" s="11"/>
      <c r="B11" s="18"/>
      <c r="C11" s="19"/>
      <c r="D11" s="11"/>
      <c r="E11" s="12"/>
      <c r="F11" s="3"/>
      <c r="G11" s="4"/>
      <c r="H11" s="9" t="str">
        <f t="shared" ref="H11:H24" si="0">IF(F11*G11=0,"",F11*G11)</f>
        <v/>
      </c>
      <c r="I11" s="3"/>
    </row>
    <row r="12" spans="1:10" x14ac:dyDescent="0.25">
      <c r="A12" s="11"/>
      <c r="B12" s="18"/>
      <c r="C12" s="19"/>
      <c r="D12" s="11"/>
      <c r="E12" s="12"/>
      <c r="F12" s="3"/>
      <c r="G12" s="4"/>
      <c r="H12" s="9" t="str">
        <f t="shared" si="0"/>
        <v/>
      </c>
      <c r="I12" s="3"/>
    </row>
    <row r="13" spans="1:10" x14ac:dyDescent="0.25">
      <c r="A13" s="11"/>
      <c r="B13" s="18"/>
      <c r="C13" s="19"/>
      <c r="D13" s="11"/>
      <c r="E13" s="12"/>
      <c r="F13" s="3"/>
      <c r="G13" s="4"/>
      <c r="H13" s="9" t="str">
        <f t="shared" si="0"/>
        <v/>
      </c>
      <c r="I13" s="3"/>
    </row>
    <row r="14" spans="1:10" x14ac:dyDescent="0.25">
      <c r="A14" s="11"/>
      <c r="B14" s="18"/>
      <c r="C14" s="19"/>
      <c r="D14" s="11"/>
      <c r="E14" s="12"/>
      <c r="F14" s="3"/>
      <c r="G14" s="4"/>
      <c r="H14" s="9" t="str">
        <f t="shared" si="0"/>
        <v/>
      </c>
      <c r="I14" s="3"/>
    </row>
    <row r="15" spans="1:10" x14ac:dyDescent="0.25">
      <c r="A15" s="11"/>
      <c r="B15" s="18"/>
      <c r="C15" s="19"/>
      <c r="D15" s="11"/>
      <c r="E15" s="12"/>
      <c r="F15" s="3"/>
      <c r="G15" s="4"/>
      <c r="H15" s="9" t="str">
        <f t="shared" si="0"/>
        <v/>
      </c>
      <c r="I15" s="3"/>
    </row>
    <row r="16" spans="1:10" x14ac:dyDescent="0.25">
      <c r="A16" s="11"/>
      <c r="B16" s="18"/>
      <c r="C16" s="19"/>
      <c r="D16" s="11"/>
      <c r="E16" s="12"/>
      <c r="F16" s="3"/>
      <c r="G16" s="4"/>
      <c r="H16" s="9" t="str">
        <f t="shared" si="0"/>
        <v/>
      </c>
      <c r="I16" s="3"/>
    </row>
    <row r="17" spans="1:9" x14ac:dyDescent="0.25">
      <c r="A17" s="11"/>
      <c r="B17" s="18"/>
      <c r="C17" s="19"/>
      <c r="D17" s="11"/>
      <c r="E17" s="12"/>
      <c r="F17" s="3"/>
      <c r="G17" s="4"/>
      <c r="H17" s="9" t="str">
        <f t="shared" si="0"/>
        <v/>
      </c>
      <c r="I17" s="3"/>
    </row>
    <row r="18" spans="1:9" x14ac:dyDescent="0.25">
      <c r="A18" s="11"/>
      <c r="B18" s="18"/>
      <c r="C18" s="19"/>
      <c r="D18" s="11"/>
      <c r="E18" s="12"/>
      <c r="F18" s="3"/>
      <c r="G18" s="4"/>
      <c r="H18" s="9" t="str">
        <f t="shared" si="0"/>
        <v/>
      </c>
      <c r="I18" s="3"/>
    </row>
    <row r="19" spans="1:9" x14ac:dyDescent="0.25">
      <c r="A19" s="11"/>
      <c r="B19" s="18"/>
      <c r="C19" s="19"/>
      <c r="D19" s="11"/>
      <c r="E19" s="12"/>
      <c r="F19" s="3"/>
      <c r="G19" s="3"/>
      <c r="H19" s="9" t="str">
        <f t="shared" si="0"/>
        <v/>
      </c>
      <c r="I19" s="3"/>
    </row>
    <row r="20" spans="1:9" x14ac:dyDescent="0.25">
      <c r="A20" s="11"/>
      <c r="B20" s="18"/>
      <c r="C20" s="19"/>
      <c r="D20" s="11"/>
      <c r="E20" s="12"/>
      <c r="F20" s="3"/>
      <c r="G20" s="3"/>
      <c r="H20" s="9" t="str">
        <f t="shared" si="0"/>
        <v/>
      </c>
      <c r="I20" s="3"/>
    </row>
    <row r="21" spans="1:9" x14ac:dyDescent="0.25">
      <c r="A21" s="11"/>
      <c r="B21" s="18"/>
      <c r="C21" s="19"/>
      <c r="D21" s="11"/>
      <c r="E21" s="12"/>
      <c r="F21" s="3"/>
      <c r="G21" s="3"/>
      <c r="H21" s="9" t="str">
        <f t="shared" si="0"/>
        <v/>
      </c>
      <c r="I21" s="3"/>
    </row>
    <row r="22" spans="1:9" x14ac:dyDescent="0.25">
      <c r="A22" s="11"/>
      <c r="B22" s="18"/>
      <c r="C22" s="19"/>
      <c r="D22" s="11"/>
      <c r="E22" s="12"/>
      <c r="F22" s="3"/>
      <c r="G22" s="3"/>
      <c r="H22" s="9" t="str">
        <f t="shared" si="0"/>
        <v/>
      </c>
      <c r="I22" s="3"/>
    </row>
    <row r="23" spans="1:9" x14ac:dyDescent="0.25">
      <c r="A23" s="11"/>
      <c r="B23" s="18"/>
      <c r="C23" s="19"/>
      <c r="D23" s="11"/>
      <c r="E23" s="12"/>
      <c r="F23" s="3"/>
      <c r="G23" s="3"/>
      <c r="H23" s="9" t="str">
        <f t="shared" si="0"/>
        <v/>
      </c>
      <c r="I23" s="3"/>
    </row>
    <row r="24" spans="1:9" x14ac:dyDescent="0.25">
      <c r="A24" s="13"/>
      <c r="B24" s="25"/>
      <c r="C24" s="26"/>
      <c r="D24" s="13"/>
      <c r="E24" s="14"/>
      <c r="F24" s="5"/>
      <c r="G24" s="5"/>
      <c r="H24" s="10" t="str">
        <f t="shared" si="0"/>
        <v/>
      </c>
      <c r="I24" s="5"/>
    </row>
    <row r="26" spans="1:9" ht="18.75" x14ac:dyDescent="0.3">
      <c r="A26" s="27" t="s">
        <v>139</v>
      </c>
      <c r="B26" s="27"/>
      <c r="C26" s="27"/>
      <c r="D26" s="24" t="s">
        <v>140</v>
      </c>
      <c r="E26" s="24"/>
      <c r="F26" s="24"/>
      <c r="G26" s="24"/>
      <c r="H26" s="24"/>
      <c r="I26" s="24"/>
    </row>
    <row r="27" spans="1:9" ht="18.75" x14ac:dyDescent="0.3">
      <c r="A27" s="28" t="s">
        <v>141</v>
      </c>
      <c r="B27" s="28"/>
      <c r="C27" s="28"/>
      <c r="D27" s="30" t="s">
        <v>142</v>
      </c>
      <c r="E27" s="30"/>
      <c r="F27" s="30"/>
      <c r="G27" s="30"/>
      <c r="H27" s="30"/>
      <c r="I27" s="30"/>
    </row>
    <row r="28" spans="1:9" ht="18.75" x14ac:dyDescent="0.3">
      <c r="A28" s="28" t="s">
        <v>143</v>
      </c>
      <c r="B28" s="28"/>
      <c r="C28" s="28"/>
      <c r="D28" s="30" t="s">
        <v>142</v>
      </c>
      <c r="E28" s="30"/>
      <c r="F28" s="30"/>
      <c r="G28" s="30"/>
      <c r="H28" s="30"/>
      <c r="I28" s="30"/>
    </row>
    <row r="29" spans="1:9" ht="18.75" x14ac:dyDescent="0.3">
      <c r="A29" s="28" t="s">
        <v>144</v>
      </c>
      <c r="B29" s="28"/>
      <c r="C29" s="28"/>
      <c r="D29" s="30" t="s">
        <v>145</v>
      </c>
      <c r="E29" s="30"/>
      <c r="F29" s="30"/>
      <c r="G29" s="30"/>
      <c r="H29" s="30"/>
      <c r="I29" s="30"/>
    </row>
    <row r="30" spans="1:9" ht="18.75" x14ac:dyDescent="0.3">
      <c r="A30" s="28"/>
      <c r="B30" s="28"/>
      <c r="C30" s="28"/>
      <c r="D30" s="29"/>
      <c r="E30" s="29"/>
      <c r="F30" s="29"/>
      <c r="G30" s="29"/>
      <c r="H30" s="29"/>
      <c r="I30" s="29"/>
    </row>
  </sheetData>
  <mergeCells count="36">
    <mergeCell ref="A30:C30"/>
    <mergeCell ref="D30:I30"/>
    <mergeCell ref="A27:C27"/>
    <mergeCell ref="A28:C28"/>
    <mergeCell ref="A29:C29"/>
    <mergeCell ref="D27:I27"/>
    <mergeCell ref="D28:I28"/>
    <mergeCell ref="D29:I29"/>
    <mergeCell ref="B12:C12"/>
    <mergeCell ref="D26:I26"/>
    <mergeCell ref="B18:C18"/>
    <mergeCell ref="B13:C13"/>
    <mergeCell ref="B14:C14"/>
    <mergeCell ref="B15:C15"/>
    <mergeCell ref="B16:C16"/>
    <mergeCell ref="B17:C17"/>
    <mergeCell ref="B19:C19"/>
    <mergeCell ref="B20:C20"/>
    <mergeCell ref="B21:C21"/>
    <mergeCell ref="B22:C22"/>
    <mergeCell ref="B23:C23"/>
    <mergeCell ref="B24:C24"/>
    <mergeCell ref="A26:C26"/>
    <mergeCell ref="A1:I1"/>
    <mergeCell ref="B8:C8"/>
    <mergeCell ref="B9:C9"/>
    <mergeCell ref="B10:C10"/>
    <mergeCell ref="B11:C11"/>
    <mergeCell ref="A3:B3"/>
    <mergeCell ref="A4:B4"/>
    <mergeCell ref="A5:B5"/>
    <mergeCell ref="A6:B6"/>
    <mergeCell ref="C3:I3"/>
    <mergeCell ref="C4:I4"/>
    <mergeCell ref="C5:I5"/>
    <mergeCell ref="C6:I6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5" orientation="portrait" horizontalDpi="0" verticalDpi="0" r:id="rId1"/>
  <headerFooter alignWithMargins="0">
    <oddHeader>&amp;C&amp;P de &amp;N&amp;R&amp;K00-034&amp;F</oddHeader>
    <oddFooter>&amp;Cventas@rerda.com | Tel/Fax: 0261-4256567 | WhatsApp: +549 2615117948 | Av. San Martín 1665
www.rerda.com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Variantes!$A$2:$A$221</xm:f>
          </x14:formula1>
          <xm:sqref>D9:D24</xm:sqref>
        </x14:dataValidation>
        <x14:dataValidation type="list" allowBlank="1" showInputMessage="1" showErrorMessage="1">
          <x14:formula1>
            <xm:f>Variantes!$B$2:$B$26</xm:f>
          </x14:formula1>
          <xm:sqref>E9:E24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H11"/>
  <sheetViews>
    <sheetView workbookViewId="0">
      <selection activeCell="H2" sqref="H2"/>
    </sheetView>
  </sheetViews>
  <sheetFormatPr baseColWidth="10" defaultRowHeight="15" x14ac:dyDescent="0.25"/>
  <sheetData>
    <row r="2" spans="1:8" x14ac:dyDescent="0.25">
      <c r="A2">
        <v>1</v>
      </c>
      <c r="B2" t="s">
        <v>68</v>
      </c>
      <c r="C2" t="s">
        <v>69</v>
      </c>
      <c r="D2" t="s">
        <v>70</v>
      </c>
      <c r="E2" t="s">
        <v>71</v>
      </c>
      <c r="F2" t="s">
        <v>72</v>
      </c>
      <c r="G2" t="s">
        <v>73</v>
      </c>
      <c r="H2" t="s">
        <v>74</v>
      </c>
    </row>
    <row r="3" spans="1:8" x14ac:dyDescent="0.25">
      <c r="A3">
        <v>2</v>
      </c>
      <c r="B3" t="s">
        <v>75</v>
      </c>
      <c r="C3" t="s">
        <v>76</v>
      </c>
      <c r="D3" t="s">
        <v>77</v>
      </c>
      <c r="E3" t="s">
        <v>78</v>
      </c>
      <c r="F3" t="s">
        <v>79</v>
      </c>
      <c r="G3" t="s">
        <v>80</v>
      </c>
      <c r="H3" t="s">
        <v>81</v>
      </c>
    </row>
    <row r="4" spans="1:8" x14ac:dyDescent="0.25">
      <c r="A4">
        <v>3</v>
      </c>
      <c r="B4" t="s">
        <v>82</v>
      </c>
      <c r="C4" t="s">
        <v>83</v>
      </c>
      <c r="D4" t="s">
        <v>84</v>
      </c>
      <c r="E4" t="s">
        <v>85</v>
      </c>
      <c r="F4" t="s">
        <v>86</v>
      </c>
      <c r="G4" t="s">
        <v>87</v>
      </c>
      <c r="H4" t="s">
        <v>88</v>
      </c>
    </row>
    <row r="5" spans="1:8" x14ac:dyDescent="0.25">
      <c r="A5">
        <v>4</v>
      </c>
      <c r="B5" t="s">
        <v>89</v>
      </c>
      <c r="C5" t="s">
        <v>90</v>
      </c>
      <c r="D5" t="s">
        <v>91</v>
      </c>
      <c r="E5" t="s">
        <v>92</v>
      </c>
      <c r="F5" t="s">
        <v>93</v>
      </c>
      <c r="G5" t="s">
        <v>94</v>
      </c>
      <c r="H5" t="s">
        <v>95</v>
      </c>
    </row>
    <row r="6" spans="1:8" x14ac:dyDescent="0.25">
      <c r="A6">
        <v>5</v>
      </c>
      <c r="B6" t="s">
        <v>96</v>
      </c>
      <c r="C6" t="s">
        <v>97</v>
      </c>
      <c r="D6" t="s">
        <v>98</v>
      </c>
      <c r="E6" t="s">
        <v>99</v>
      </c>
      <c r="F6" t="s">
        <v>100</v>
      </c>
      <c r="G6" t="s">
        <v>101</v>
      </c>
      <c r="H6" t="s">
        <v>102</v>
      </c>
    </row>
    <row r="7" spans="1:8" x14ac:dyDescent="0.25">
      <c r="A7">
        <v>6</v>
      </c>
      <c r="B7" t="s">
        <v>103</v>
      </c>
      <c r="C7" t="s">
        <v>104</v>
      </c>
      <c r="D7" t="s">
        <v>105</v>
      </c>
      <c r="E7" t="s">
        <v>106</v>
      </c>
      <c r="F7" t="s">
        <v>107</v>
      </c>
      <c r="G7" t="s">
        <v>108</v>
      </c>
      <c r="H7" t="s">
        <v>109</v>
      </c>
    </row>
    <row r="8" spans="1:8" x14ac:dyDescent="0.25">
      <c r="A8">
        <v>7</v>
      </c>
      <c r="B8" t="s">
        <v>110</v>
      </c>
      <c r="C8" t="s">
        <v>111</v>
      </c>
      <c r="D8" t="s">
        <v>112</v>
      </c>
      <c r="E8" t="s">
        <v>113</v>
      </c>
      <c r="F8" t="s">
        <v>114</v>
      </c>
      <c r="G8" t="s">
        <v>115</v>
      </c>
      <c r="H8" t="s">
        <v>116</v>
      </c>
    </row>
    <row r="9" spans="1:8" x14ac:dyDescent="0.25">
      <c r="A9">
        <v>8</v>
      </c>
      <c r="B9" t="s">
        <v>117</v>
      </c>
      <c r="C9" t="s">
        <v>118</v>
      </c>
      <c r="D9" t="s">
        <v>119</v>
      </c>
      <c r="E9" t="s">
        <v>120</v>
      </c>
      <c r="F9" t="s">
        <v>121</v>
      </c>
      <c r="G9" t="s">
        <v>122</v>
      </c>
      <c r="H9" t="s">
        <v>123</v>
      </c>
    </row>
    <row r="10" spans="1:8" x14ac:dyDescent="0.25">
      <c r="A10">
        <v>9</v>
      </c>
      <c r="B10" t="s">
        <v>124</v>
      </c>
      <c r="C10" t="s">
        <v>125</v>
      </c>
      <c r="D10" t="s">
        <v>126</v>
      </c>
      <c r="E10" t="s">
        <v>127</v>
      </c>
      <c r="F10" t="s">
        <v>128</v>
      </c>
      <c r="G10" t="s">
        <v>129</v>
      </c>
      <c r="H10" t="s">
        <v>130</v>
      </c>
    </row>
    <row r="11" spans="1:8" x14ac:dyDescent="0.25">
      <c r="A11">
        <v>10</v>
      </c>
      <c r="B11" t="s">
        <v>131</v>
      </c>
      <c r="C11" t="s">
        <v>132</v>
      </c>
      <c r="D11" t="s">
        <v>133</v>
      </c>
      <c r="E11" t="s">
        <v>134</v>
      </c>
      <c r="F11" t="s">
        <v>135</v>
      </c>
      <c r="G11" t="s">
        <v>136</v>
      </c>
      <c r="H11" t="s">
        <v>137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216"/>
  <sheetViews>
    <sheetView workbookViewId="0">
      <selection activeCell="B16" sqref="B16"/>
    </sheetView>
  </sheetViews>
  <sheetFormatPr baseColWidth="10" defaultRowHeight="15" x14ac:dyDescent="0.25"/>
  <cols>
    <col min="2" max="2" width="28.7109375" customWidth="1"/>
  </cols>
  <sheetData>
    <row r="1" spans="1:2" x14ac:dyDescent="0.25">
      <c r="A1" s="1" t="s">
        <v>2</v>
      </c>
      <c r="B1" s="1" t="s">
        <v>3</v>
      </c>
    </row>
    <row r="2" spans="1:2" x14ac:dyDescent="0.25">
      <c r="A2" t="s">
        <v>39</v>
      </c>
      <c r="B2" t="s">
        <v>15</v>
      </c>
    </row>
    <row r="3" spans="1:2" x14ac:dyDescent="0.25">
      <c r="A3" t="s">
        <v>40</v>
      </c>
      <c r="B3" t="s">
        <v>16</v>
      </c>
    </row>
    <row r="4" spans="1:2" x14ac:dyDescent="0.25">
      <c r="A4" t="s">
        <v>41</v>
      </c>
      <c r="B4" t="s">
        <v>17</v>
      </c>
    </row>
    <row r="5" spans="1:2" x14ac:dyDescent="0.25">
      <c r="A5" t="s">
        <v>42</v>
      </c>
      <c r="B5" t="s">
        <v>18</v>
      </c>
    </row>
    <row r="6" spans="1:2" x14ac:dyDescent="0.25">
      <c r="A6" t="s">
        <v>43</v>
      </c>
      <c r="B6" t="s">
        <v>19</v>
      </c>
    </row>
    <row r="7" spans="1:2" x14ac:dyDescent="0.25">
      <c r="A7" t="s">
        <v>44</v>
      </c>
      <c r="B7" t="s">
        <v>20</v>
      </c>
    </row>
    <row r="8" spans="1:2" x14ac:dyDescent="0.25">
      <c r="A8" t="s">
        <v>45</v>
      </c>
      <c r="B8" t="s">
        <v>21</v>
      </c>
    </row>
    <row r="9" spans="1:2" x14ac:dyDescent="0.25">
      <c r="A9" t="s">
        <v>46</v>
      </c>
      <c r="B9" t="s">
        <v>22</v>
      </c>
    </row>
    <row r="10" spans="1:2" x14ac:dyDescent="0.25">
      <c r="A10" t="s">
        <v>47</v>
      </c>
      <c r="B10" t="s">
        <v>23</v>
      </c>
    </row>
    <row r="11" spans="1:2" x14ac:dyDescent="0.25">
      <c r="A11" t="s">
        <v>48</v>
      </c>
      <c r="B11" t="s">
        <v>24</v>
      </c>
    </row>
    <row r="12" spans="1:2" x14ac:dyDescent="0.25">
      <c r="A12" t="s">
        <v>49</v>
      </c>
      <c r="B12" t="s">
        <v>25</v>
      </c>
    </row>
    <row r="13" spans="1:2" x14ac:dyDescent="0.25">
      <c r="A13" t="s">
        <v>50</v>
      </c>
      <c r="B13" t="s">
        <v>26</v>
      </c>
    </row>
    <row r="14" spans="1:2" x14ac:dyDescent="0.25">
      <c r="A14" t="s">
        <v>51</v>
      </c>
      <c r="B14" t="s">
        <v>27</v>
      </c>
    </row>
    <row r="15" spans="1:2" x14ac:dyDescent="0.25">
      <c r="A15" t="s">
        <v>52</v>
      </c>
      <c r="B15" t="s">
        <v>28</v>
      </c>
    </row>
    <row r="16" spans="1:2" x14ac:dyDescent="0.25">
      <c r="A16" t="s">
        <v>53</v>
      </c>
      <c r="B16" t="s">
        <v>29</v>
      </c>
    </row>
    <row r="17" spans="1:2" x14ac:dyDescent="0.25">
      <c r="A17" t="s">
        <v>54</v>
      </c>
      <c r="B17" t="s">
        <v>30</v>
      </c>
    </row>
    <row r="18" spans="1:2" x14ac:dyDescent="0.25">
      <c r="A18" t="s">
        <v>55</v>
      </c>
      <c r="B18" t="s">
        <v>31</v>
      </c>
    </row>
    <row r="19" spans="1:2" x14ac:dyDescent="0.25">
      <c r="A19" t="s">
        <v>56</v>
      </c>
      <c r="B19" t="s">
        <v>32</v>
      </c>
    </row>
    <row r="20" spans="1:2" x14ac:dyDescent="0.25">
      <c r="A20" t="s">
        <v>66</v>
      </c>
      <c r="B20" t="s">
        <v>33</v>
      </c>
    </row>
    <row r="21" spans="1:2" x14ac:dyDescent="0.25">
      <c r="A21" t="s">
        <v>57</v>
      </c>
      <c r="B21" t="s">
        <v>34</v>
      </c>
    </row>
    <row r="22" spans="1:2" x14ac:dyDescent="0.25">
      <c r="A22" t="s">
        <v>58</v>
      </c>
      <c r="B22" t="s">
        <v>35</v>
      </c>
    </row>
    <row r="23" spans="1:2" x14ac:dyDescent="0.25">
      <c r="A23" t="s">
        <v>59</v>
      </c>
      <c r="B23" t="s">
        <v>36</v>
      </c>
    </row>
    <row r="24" spans="1:2" x14ac:dyDescent="0.25">
      <c r="A24" t="s">
        <v>60</v>
      </c>
      <c r="B24" t="s">
        <v>37</v>
      </c>
    </row>
    <row r="25" spans="1:2" x14ac:dyDescent="0.25">
      <c r="A25" t="s">
        <v>61</v>
      </c>
      <c r="B25" t="s">
        <v>38</v>
      </c>
    </row>
    <row r="26" spans="1:2" x14ac:dyDescent="0.25">
      <c r="A26" t="s">
        <v>14</v>
      </c>
      <c r="B26" t="s">
        <v>146</v>
      </c>
    </row>
    <row r="27" spans="1:2" x14ac:dyDescent="0.25">
      <c r="A27" t="s">
        <v>62</v>
      </c>
    </row>
    <row r="28" spans="1:2" x14ac:dyDescent="0.25">
      <c r="A28" t="s">
        <v>63</v>
      </c>
    </row>
    <row r="29" spans="1:2" x14ac:dyDescent="0.25">
      <c r="A29" t="s">
        <v>64</v>
      </c>
    </row>
    <row r="30" spans="1:2" x14ac:dyDescent="0.25">
      <c r="A30" t="s">
        <v>65</v>
      </c>
    </row>
    <row r="31" spans="1:2" x14ac:dyDescent="0.25">
      <c r="A31" t="s">
        <v>67</v>
      </c>
    </row>
    <row r="32" spans="1:2" x14ac:dyDescent="0.25">
      <c r="A32">
        <v>1</v>
      </c>
    </row>
    <row r="33" spans="1:1" x14ac:dyDescent="0.25">
      <c r="A33">
        <v>2</v>
      </c>
    </row>
    <row r="34" spans="1:1" x14ac:dyDescent="0.25">
      <c r="A34">
        <v>3</v>
      </c>
    </row>
    <row r="35" spans="1:1" x14ac:dyDescent="0.25">
      <c r="A35">
        <v>4</v>
      </c>
    </row>
    <row r="36" spans="1:1" x14ac:dyDescent="0.25">
      <c r="A36">
        <v>5</v>
      </c>
    </row>
    <row r="37" spans="1:1" x14ac:dyDescent="0.25">
      <c r="A37">
        <v>6</v>
      </c>
    </row>
    <row r="38" spans="1:1" x14ac:dyDescent="0.25">
      <c r="A38">
        <v>7</v>
      </c>
    </row>
    <row r="39" spans="1:1" x14ac:dyDescent="0.25">
      <c r="A39">
        <v>8</v>
      </c>
    </row>
    <row r="40" spans="1:1" x14ac:dyDescent="0.25">
      <c r="A40">
        <v>9</v>
      </c>
    </row>
    <row r="41" spans="1:1" x14ac:dyDescent="0.25">
      <c r="A41">
        <v>10</v>
      </c>
    </row>
    <row r="42" spans="1:1" x14ac:dyDescent="0.25">
      <c r="A42">
        <v>11</v>
      </c>
    </row>
    <row r="43" spans="1:1" x14ac:dyDescent="0.25">
      <c r="A43">
        <v>12</v>
      </c>
    </row>
    <row r="44" spans="1:1" x14ac:dyDescent="0.25">
      <c r="A44">
        <v>13</v>
      </c>
    </row>
    <row r="45" spans="1:1" x14ac:dyDescent="0.25">
      <c r="A45">
        <v>14</v>
      </c>
    </row>
    <row r="46" spans="1:1" x14ac:dyDescent="0.25">
      <c r="A46">
        <v>15</v>
      </c>
    </row>
    <row r="47" spans="1:1" x14ac:dyDescent="0.25">
      <c r="A47">
        <v>16</v>
      </c>
    </row>
    <row r="48" spans="1:1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  <row r="212" spans="1:1" x14ac:dyDescent="0.25">
      <c r="A212">
        <v>181</v>
      </c>
    </row>
    <row r="213" spans="1:1" x14ac:dyDescent="0.25">
      <c r="A213">
        <v>182</v>
      </c>
    </row>
    <row r="214" spans="1:1" x14ac:dyDescent="0.25">
      <c r="A214">
        <v>183</v>
      </c>
    </row>
    <row r="215" spans="1:1" x14ac:dyDescent="0.25">
      <c r="A215">
        <v>184</v>
      </c>
    </row>
    <row r="216" spans="1:1" x14ac:dyDescent="0.25">
      <c r="A216">
        <v>185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Presupuesto</vt:lpstr>
      <vt:lpstr>Resultados</vt:lpstr>
      <vt:lpstr>Variantes</vt:lpstr>
      <vt:lpstr>Presupuesto!Área_de_impresión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2023-02-03T20:08:41Z</cp:lastPrinted>
  <dcterms:created xsi:type="dcterms:W3CDTF">2023-01-31T15:07:55Z</dcterms:created>
  <dcterms:modified xsi:type="dcterms:W3CDTF">2023-02-07T14:30:24Z</dcterms:modified>
</cp:coreProperties>
</file>