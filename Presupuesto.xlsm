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0" i="1" l="1"/>
  <c r="G11" i="1" l="1"/>
  <c r="B11" i="1"/>
  <c r="G12" i="1" l="1"/>
  <c r="B12" i="1"/>
  <c r="B10" i="1" l="1"/>
  <c r="G13" i="1" l="1"/>
  <c r="G15" i="1" l="1"/>
  <c r="B15" i="1"/>
  <c r="C19" i="1"/>
  <c r="C18" i="1"/>
  <c r="C17" i="1"/>
  <c r="C16" i="1"/>
  <c r="B3" i="1" l="1"/>
  <c r="G14" i="1"/>
</calcChain>
</file>

<file path=xl/sharedStrings.xml><?xml version="1.0" encoding="utf-8"?>
<sst xmlns="http://schemas.openxmlformats.org/spreadsheetml/2006/main" count="4850" uniqueCount="4794">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</sst>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1120206\1.jpg" TargetMode="External"/><Relationship Id="rId1" Type="http://schemas.openxmlformats.org/officeDocument/2006/relationships/image" Target="../media/image1.png"/><Relationship Id="rId5" Type="http://schemas.openxmlformats.org/officeDocument/2006/relationships/image" Target="file:///D:\web\imagenes_rerda\2103050\1.jpg" TargetMode="External"/><Relationship Id="rId4" Type="http://schemas.openxmlformats.org/officeDocument/2006/relationships/image" Target="file:///D:\web\imagenes_rerda\21015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1028" name="Imagen 10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4022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53943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26511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0"/>
  <sheetViews>
    <sheetView tabSelected="1" topLeftCell="A2" zoomScaleNormal="100" workbookViewId="0">
      <selection activeCell="I8" sqref="I8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28" t="s">
        <v>0</v>
      </c>
      <c r="D1" s="28"/>
      <c r="E1" s="28"/>
      <c r="F1" s="28"/>
      <c r="G1" s="28"/>
      <c r="H1" s="28"/>
    </row>
    <row r="2" spans="1:8" x14ac:dyDescent="0.25">
      <c r="D2" s="6"/>
    </row>
    <row r="3" spans="1:8" ht="18" customHeight="1" x14ac:dyDescent="0.3">
      <c r="A3" s="12" t="s">
        <v>6</v>
      </c>
      <c r="B3" s="31">
        <f ca="1">TODAY()</f>
        <v>45406</v>
      </c>
      <c r="C3" s="31"/>
      <c r="D3" s="31"/>
      <c r="E3" s="31"/>
      <c r="F3" s="31"/>
      <c r="G3" s="31"/>
      <c r="H3" s="31"/>
    </row>
    <row r="4" spans="1:8" ht="18" customHeight="1" x14ac:dyDescent="0.3">
      <c r="A4" s="12" t="s">
        <v>7</v>
      </c>
      <c r="B4" s="32" t="s">
        <v>4793</v>
      </c>
      <c r="C4" s="32"/>
      <c r="D4" s="32"/>
      <c r="E4" s="32"/>
      <c r="F4" s="32"/>
      <c r="G4" s="32"/>
      <c r="H4" s="32"/>
    </row>
    <row r="5" spans="1:8" ht="18" customHeight="1" x14ac:dyDescent="0.3">
      <c r="A5" s="12" t="s">
        <v>8</v>
      </c>
      <c r="B5" s="33" t="s">
        <v>10</v>
      </c>
      <c r="C5" s="33"/>
      <c r="D5" s="33"/>
      <c r="E5" s="33"/>
      <c r="F5" s="33"/>
      <c r="G5" s="33"/>
      <c r="H5" s="33"/>
    </row>
    <row r="6" spans="1:8" ht="18" customHeight="1" x14ac:dyDescent="0.3">
      <c r="A6" s="12" t="s">
        <v>9</v>
      </c>
      <c r="B6" s="33">
        <v>261503508</v>
      </c>
      <c r="C6" s="33"/>
      <c r="D6" s="33"/>
      <c r="E6" s="33"/>
      <c r="F6" s="33"/>
      <c r="G6" s="33"/>
      <c r="H6" s="33"/>
    </row>
    <row r="7" spans="1:8" x14ac:dyDescent="0.25">
      <c r="D7" s="6"/>
    </row>
    <row r="8" spans="1:8" ht="47.2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34" t="s">
        <v>2578</v>
      </c>
      <c r="G8" s="34" t="s">
        <v>4</v>
      </c>
      <c r="H8" s="18" t="s">
        <v>3</v>
      </c>
    </row>
    <row r="9" spans="1:8" ht="108" customHeight="1" x14ac:dyDescent="0.25">
      <c r="A9" s="13">
        <v>2103050</v>
      </c>
      <c r="B9" s="20" t="str">
        <f>IFERROR(VLOOKUP($A$9,Resultados!A$1:E$10000,2,FALSE),"")</f>
        <v>REMERA MC COMBAT AZUL 3XS/2XL</v>
      </c>
      <c r="C9" s="13" t="s">
        <v>11</v>
      </c>
      <c r="D9" s="14"/>
      <c r="E9" s="15">
        <v>1</v>
      </c>
      <c r="F9" s="19">
        <v>1500</v>
      </c>
      <c r="G9" s="19">
        <f>IF(E9*F9=0,"",E9*F9)</f>
        <v>1500</v>
      </c>
      <c r="H9" s="17"/>
    </row>
    <row r="10" spans="1:8" ht="108" customHeight="1" x14ac:dyDescent="0.25">
      <c r="A10" s="13">
        <v>2103050</v>
      </c>
      <c r="B10" s="20" t="str">
        <f>IFERROR(VLOOKUP($A$10,Resultados!A$1:E$10000,2,FALSE),"")</f>
        <v>REMERA MC COMBAT AZUL 3XS/2XL</v>
      </c>
      <c r="C10" s="13">
        <v>46</v>
      </c>
      <c r="D10" s="14"/>
      <c r="E10" s="15">
        <v>1</v>
      </c>
      <c r="F10" s="19">
        <v>2000</v>
      </c>
      <c r="G10" s="19">
        <f t="shared" ref="G9:G13" si="0">IF(E10*F10=0,"",E10*F10)</f>
        <v>2000</v>
      </c>
      <c r="H10" s="17"/>
    </row>
    <row r="11" spans="1:8" ht="108" customHeight="1" x14ac:dyDescent="0.25">
      <c r="A11" s="13">
        <v>2101550</v>
      </c>
      <c r="B11" s="20" t="str">
        <f>IFERROR(VLOOKUP($A$11,Resultados!A$1:E$10000,2,FALSE),"")</f>
        <v>REMERA MC SIN CIERRE AZUL 3XS/2XL RER</v>
      </c>
      <c r="C11" s="13">
        <v>46</v>
      </c>
      <c r="D11" s="14" t="s">
        <v>34</v>
      </c>
      <c r="E11" s="15">
        <v>2</v>
      </c>
      <c r="F11" s="19">
        <v>2000</v>
      </c>
      <c r="G11" s="19">
        <f t="shared" si="0"/>
        <v>4000</v>
      </c>
      <c r="H11" s="17" t="b">
        <v>0</v>
      </c>
    </row>
    <row r="12" spans="1:8" ht="108" customHeight="1" x14ac:dyDescent="0.25">
      <c r="A12" s="13">
        <v>2103090</v>
      </c>
      <c r="B12" s="20" t="str">
        <f>IFERROR(VLOOKUP($A$12,Resultados!A$1:E$10000,2,FALSE),"")</f>
        <v>REMERA MC COMBAT NEGRA 3XS/2XL</v>
      </c>
      <c r="C12" s="13" t="s">
        <v>56</v>
      </c>
      <c r="D12" s="14" t="s">
        <v>34</v>
      </c>
      <c r="E12" s="15">
        <v>5</v>
      </c>
      <c r="F12" s="16">
        <v>1000</v>
      </c>
      <c r="G12" s="19">
        <f t="shared" si="0"/>
        <v>5000</v>
      </c>
      <c r="H12" s="17"/>
    </row>
    <row r="13" spans="1:8" ht="18" customHeight="1" x14ac:dyDescent="0.25">
      <c r="A13" s="21"/>
      <c r="B13" s="22"/>
      <c r="C13" s="21"/>
      <c r="D13" s="23"/>
      <c r="E13" s="24"/>
      <c r="F13" s="24"/>
      <c r="G13" s="3" t="str">
        <f t="shared" si="0"/>
        <v/>
      </c>
      <c r="H13" s="24"/>
    </row>
    <row r="14" spans="1:8" ht="18" customHeight="1" thickBot="1" x14ac:dyDescent="0.3">
      <c r="A14" s="21"/>
      <c r="B14" s="22"/>
      <c r="C14" s="21"/>
      <c r="D14" s="25"/>
      <c r="E14" s="24"/>
      <c r="F14" s="35" t="s">
        <v>2599</v>
      </c>
      <c r="G14" s="4">
        <f>IFERROR(SUM(G11:G12),"")</f>
        <v>9000</v>
      </c>
      <c r="H14" s="8"/>
    </row>
    <row r="15" spans="1:8" ht="18" customHeight="1" thickTop="1" x14ac:dyDescent="0.25">
      <c r="A15" s="9"/>
      <c r="B15" s="9" t="str">
        <f>IFERROR(VLOOKUP($A$15,Resultados!A$1:B$10000,2,FALSE),"")</f>
        <v/>
      </c>
      <c r="C15" s="9"/>
      <c r="D15" s="9"/>
      <c r="E15" s="9"/>
      <c r="F15" s="9"/>
      <c r="G15" s="9" t="str">
        <f>IF(E15*F15=0,"",E15*F15)</f>
        <v/>
      </c>
      <c r="H15" s="8"/>
    </row>
    <row r="16" spans="1:8" ht="18" customHeight="1" x14ac:dyDescent="0.25">
      <c r="A16" s="9"/>
      <c r="B16" s="10" t="s">
        <v>4789</v>
      </c>
      <c r="C16" s="29" t="str">
        <f>IF(E16*F16=0,"",E16*F16)</f>
        <v/>
      </c>
      <c r="D16" s="29"/>
      <c r="E16" s="29"/>
      <c r="F16" s="29"/>
      <c r="G16" s="29"/>
      <c r="H16" s="29"/>
    </row>
    <row r="17" spans="1:8" ht="18" customHeight="1" x14ac:dyDescent="0.25">
      <c r="A17" s="9"/>
      <c r="B17" s="11" t="s">
        <v>4791</v>
      </c>
      <c r="C17" s="30" t="str">
        <f>IF(E17*F17=0,"",E17*F17)</f>
        <v/>
      </c>
      <c r="D17" s="30"/>
      <c r="E17" s="30"/>
      <c r="F17" s="30"/>
      <c r="G17" s="30"/>
      <c r="H17" s="30"/>
    </row>
    <row r="18" spans="1:8" ht="18" customHeight="1" x14ac:dyDescent="0.25">
      <c r="A18" s="9"/>
      <c r="B18" s="11" t="s">
        <v>4792</v>
      </c>
      <c r="C18" s="30" t="str">
        <f>IF(E18*F18=0,"",E18*F18)</f>
        <v/>
      </c>
      <c r="D18" s="30"/>
      <c r="E18" s="30"/>
      <c r="F18" s="30"/>
      <c r="G18" s="30"/>
      <c r="H18" s="30"/>
    </row>
    <row r="19" spans="1:8" ht="18" customHeight="1" x14ac:dyDescent="0.25">
      <c r="A19" s="9"/>
      <c r="B19" s="11" t="s">
        <v>4790</v>
      </c>
      <c r="C19" s="30" t="str">
        <f>IF(E19*F19=0,"",E19*F19)</f>
        <v/>
      </c>
      <c r="D19" s="30"/>
      <c r="E19" s="30"/>
      <c r="F19" s="30"/>
      <c r="G19" s="30"/>
      <c r="H19" s="30"/>
    </row>
    <row r="20" spans="1:8" ht="15.75" x14ac:dyDescent="0.25">
      <c r="A20" s="8"/>
      <c r="B20" s="8"/>
      <c r="C20" s="8"/>
      <c r="D20" s="9"/>
      <c r="E20" s="8"/>
      <c r="F20" s="8"/>
      <c r="G20" s="8"/>
      <c r="H20" s="8"/>
    </row>
  </sheetData>
  <sheetProtection insertRows="0" deleteRows="0" autoFilter="0"/>
  <mergeCells count="9">
    <mergeCell ref="C1:H1"/>
    <mergeCell ref="C16:H16"/>
    <mergeCell ref="C17:H17"/>
    <mergeCell ref="C18:H18"/>
    <mergeCell ref="C19:H19"/>
    <mergeCell ref="B3:H3"/>
    <mergeCell ref="B4:H4"/>
    <mergeCell ref="B5:H5"/>
    <mergeCell ref="B6:H6"/>
  </mergeCells>
  <conditionalFormatting sqref="H9:H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F14</xm:sqref>
        </x14:dataValidation>
        <x14:dataValidation type="list" allowBlank="1" showInputMessage="1" showErrorMessage="1">
          <x14:formula1>
            <xm:f>Variantes!$B$2:$B$26</xm:f>
          </x14:formula1>
          <xm:sqref>D13:D14</xm:sqref>
        </x14:dataValidation>
        <x14:dataValidation type="list" allowBlank="1" showInputMessage="1" showErrorMessage="1">
          <x14:formula1>
            <xm:f>Variantes!$B$2:$B$44</xm:f>
          </x14:formula1>
          <xm:sqref>D9:D12</xm:sqref>
        </x14:dataValidation>
        <x14:dataValidation type="list" allowBlank="1" showInputMessage="1" showErrorMessage="1">
          <x14:formula1>
            <xm:f>Variantes!$A$2:$A$221</xm:f>
          </x14:formula1>
          <xm:sqref>C9:C14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objects="1" scenarios="1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objects="1" scenarios="1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2024-04-24T17:09:41Z</cp:lastPrinted>
  <dcterms:created xsi:type="dcterms:W3CDTF">2023-01-31T15:07:55Z</dcterms:created>
  <dcterms:modified xsi:type="dcterms:W3CDTF">2024-04-24T20:23:14Z</dcterms:modified>
</cp:coreProperties>
</file>